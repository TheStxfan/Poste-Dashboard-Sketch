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 Richiesta" sheetId="1" r:id="rId5"/>
    <sheet state="visible" name="Personas Problematiche" sheetId="2" r:id="rId6"/>
    <sheet state="visible" name="Architettura" sheetId="3" r:id="rId7"/>
  </sheets>
  <definedNames/>
  <calcPr/>
</workbook>
</file>

<file path=xl/sharedStrings.xml><?xml version="1.0" encoding="utf-8"?>
<sst xmlns="http://schemas.openxmlformats.org/spreadsheetml/2006/main" count="124" uniqueCount="111">
  <si>
    <t>Parametro Richiesto</t>
  </si>
  <si>
    <t>Valore Inserito</t>
  </si>
  <si>
    <t>Giustificazione</t>
  </si>
  <si>
    <t>Risorsa IT (Architettura Fisica)</t>
  </si>
  <si>
    <t>Quantità</t>
  </si>
  <si>
    <t>Costo Mensile Unitario</t>
  </si>
  <si>
    <t>Costo Mensile Totale</t>
  </si>
  <si>
    <t>Numero utenti/giorno</t>
  </si>
  <si>
    <t>Alta densità, filiale aperta con orario continuato.</t>
  </si>
  <si>
    <t>Server Web / Frontend (Cloud)</t>
  </si>
  <si>
    <t>Tempo medio di servizio (μ)</t>
  </si>
  <si>
    <t>6 minuti</t>
  </si>
  <si>
    <t>Media tra operazioni rapide (ritiri) e lunghe (apertura conti).</t>
  </si>
  <si>
    <t>Server Database Relazionale</t>
  </si>
  <si>
    <t>Operatori attivi (c)</t>
  </si>
  <si>
    <t>12 sportelli</t>
  </si>
  <si>
    <t>Filiale centrale grande, per smaltire il traffico.</t>
  </si>
  <si>
    <t>Load Balancer (Bilanciatore)</t>
  </si>
  <si>
    <t>Capacità oraria (c\times\μ)</t>
  </si>
  <si>
    <t>Calcolata con formula: =12*(60/6). Significa 120 utenti l'ora.</t>
  </si>
  <si>
    <t>Storage Dati NAS/SAN (2 TB)</t>
  </si>
  <si>
    <t>Picchi di traffico orari</t>
  </si>
  <si>
    <t>190 (mattina) e 210 (pranzo)</t>
  </si>
  <si>
    <t>Arrivi concentrati nelle fasce di pausa lavorativa.</t>
  </si>
  <si>
    <t>API Gateway &amp; Servizio Code</t>
  </si>
  <si>
    <t>Numero richieste API/minuto</t>
  </si>
  <si>
    <t>600 (nei picchi)</t>
  </si>
  <si>
    <t>Prenotazioni app, totem e refresh schermi sala.</t>
  </si>
  <si>
    <t>TOTALE MENSILE</t>
  </si>
  <si>
    <t>Volume dati stimato</t>
  </si>
  <si>
    <t>5 GB/giorno (1.5 TB/anno)</t>
  </si>
  <si>
    <t>Scansioni documenti d'identità e firme digitali.</t>
  </si>
  <si>
    <t>Fascia Oraria</t>
  </si>
  <si>
    <t>Utenti in Arrivo (λ)</t>
  </si>
  <si>
    <t>Capacità di Smaltimento (μ)</t>
  </si>
  <si>
    <t>Utenti in Coda (Lq)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</si>
  <si>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</si>
  <si>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</si>
  <si>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</si>
  <si>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</si>
  <si>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</si>
  <si>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</si>
  <si>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</si>
  <si>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</si>
  <si>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</si>
  <si>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</si>
  <si>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</si>
  <si>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Utenti Concorrenti (App/Web/Totem)</t>
  </si>
  <si>
    <t>CPU Totale (Stima %)</t>
  </si>
  <si>
    <t>RAM Necessaria (GB)</t>
  </si>
  <si>
    <t>Banda Netta (Mbps)</t>
  </si>
  <si>
    <t>Banda Netta + Overhead (Mbps)</t>
  </si>
  <si>
    <t>\</t>
  </si>
  <si>
    <t>Nome</t>
  </si>
  <si>
    <t>Descrizione</t>
  </si>
  <si>
    <t>Obbiettivi</t>
  </si>
  <si>
    <t>Frizioni Operative</t>
  </si>
  <si>
    <t>Impatto sull'impianto informatico</t>
  </si>
  <si>
    <t>Effetti sulla gestione delle code</t>
  </si>
  <si>
    <t>Persona 1</t>
  </si>
  <si>
    <t>Dario Lampa</t>
  </si>
  <si>
    <t>Boomer a livelli estremi, non sa come usare un pc manco per sbaglio</t>
  </si>
  <si>
    <t>Risolvere il problema nel modo più semplice possibile (spesso tramite telefono o di persona), senza dover "combattere" con interfacce complesse.</t>
  </si>
  <si>
    <t>Smarrimento delle password, difficoltà nella navigazione dei menu a tendina, inserimento di dati errati o incompleti nei form digitali.</t>
  </si>
  <si>
    <t>Necessità di interfacce UI/UX ultra-semplificate e sistemi di recupero credenziali assistiti. Il sistema deve prevedere log di errore chiari per permettere all'assistenza di capire cosa ha cliccato Dario.</t>
  </si>
  <si>
    <t>Tende a "saltare" la coda digitale chiamando direttamente o presentandosi fisicamente, creando colli di bottiglia e costringendo gli operatori a inserire i dati manualmente per lui.</t>
  </si>
  <si>
    <t>Persona 2</t>
  </si>
  <si>
    <t>Simone Termo</t>
  </si>
  <si>
    <t>Nativo digitale, vive di smartphone e pacchi Amazon, allergico alla carta e alle file. 📱📦</t>
  </si>
  <si>
    <t>Immediatezza totale, tracciamento in tempo reale (stile Amazon) e zero interazione umana.</t>
  </si>
  <si>
    <t>Intolleranza verso i sistemi che non sono mobile-responsive o che richiedono stampe/scansioni. Si irrita se deve ripetere informazioni già fornite digitalmente.</t>
  </si>
  <si>
    <t>Richiede un'architettura basata su API robuste per il tracking e sistemi di notifica push/email istantanei. L'interfaccia deve essere ottimizzata per il pollice (mobile-first).</t>
  </si>
  <si>
    <t>Non farà mai la fila fisica. Se la coda digitale non è chiara o non fornisce una stima dei tempi d'attesa, Simone abbandona il servizio e cerca un'alternativa più moderna (o si lamenta sui social).</t>
  </si>
  <si>
    <t>Persona 3</t>
  </si>
  <si>
    <t>Dina Lampa</t>
  </si>
  <si>
    <t>Business Woman, piena di impegni, no pazienza, no tempo. 💵💰</t>
  </si>
  <si>
    <t>Delegare o automatizzare. Meno tempo passa nell'interfaccia, più è felice.</t>
  </si>
  <si>
    <t>Odia dover fare cose "basse" o operative. Se il sistema le chiede di inserire manualmente un codice che potrebbe essere letto da un QR, si infuria.</t>
  </si>
  <si>
    <t>Richiede funzioni di delega. Il sistema deve permettere a Dina di iniziare una pratica e "girarla" alla sua segretaria con un clic, o viceversa.</t>
  </si>
  <si>
    <t>Dina è quella che cerca il tasto "Priority Pass". È disposta a pagare un sovrapprezzo per saltare la fila o per avere un consulente dedicato (human-in-the-loop) che risponda al primo squillo.</t>
  </si>
  <si>
    <t>Persona 4</t>
  </si>
  <si>
    <t>Mina Vagante</t>
  </si>
  <si>
    <t>Studentessa universitaria, la sua PostePay è sempre a zero, vive di ricariche dei genitori. 🤳💸</t>
  </si>
  <si>
    <t>Risparmiare. Cerca lo sconto, la promo "invita un amico" o il metodo di pagamento che non le faccia pagare commissioni.</t>
  </si>
  <si>
    <t>non ha voglia di sprecare tempo in processi burocratici noiosi. Se vede un form con più di 3 campi, chiude tutto. La sua soglia di attenzione è quella di un video su TikTok.</t>
  </si>
  <si>
    <t>Esige integrazioni social e portafogli digitali (Apple Pay/Google Pay). Il sistema deve essere "smart": deve precompilare tutto il possibile. Se Simone deve scrivere il suo indirizzo a mano invece di sceglierlo da una mappa, il sistema ai suoi occhi è preistorico.</t>
  </si>
  <si>
    <t>Simone non vuole la priorità a pagamento, vuole l'automazione. Se c'è una coda, vuole un bot che lo avvisi su WhatsApp quando è il suo turno, così nel frattempo può fare altro</t>
  </si>
  <si>
    <t xml:space="preserve"> </t>
  </si>
  <si>
    <t>Architettura logica</t>
  </si>
  <si>
    <t>Dettagli</t>
  </si>
  <si>
    <t>Frontend</t>
  </si>
  <si>
    <t>App bancarie, app servizi, sito web, portale business, sportelli fisici, sportelli automatici, totem interattivi, locker pacchi, punti convenzionati, call center, chatbot assistenza, canali social.</t>
  </si>
  <si>
    <t>Backend</t>
  </si>
  <si>
    <t>Elaborazione pagamenti, gestione carte, sistemi antifrode, tracciamento spedizioni, logistica smistamento, ottimizzazione rotte, archiviazione documenti, gestione servizi, autenticazione identità.</t>
  </si>
  <si>
    <t>Database</t>
  </si>
  <si>
    <t>Transazioni finanziarie, anagrafiche clienti, dati app, sessioni utente, tracciamento pacchi, cataloghi prodotti, storico aziendale, addestramento AI.</t>
  </si>
  <si>
    <t>API e integrazioni</t>
  </si>
  <si>
    <t>Gateway pagamenti, pagamenti utenze, open banking, plugin spedizioni, servizi partner, sistemi legacy.</t>
  </si>
  <si>
    <t>Sistema di autenticazione</t>
  </si>
  <si>
    <t>Identità digitale, login biometrico, codici OTP, login QR, single sign-on, autenticazione forte.</t>
  </si>
  <si>
    <t>Sistema di gestione code</t>
  </si>
  <si>
    <t>Ticket digitali, totem fisici, prenotazioni app, display sale, check-in QR, smistamento sportelli.</t>
  </si>
  <si>
    <t>Architettura fisica</t>
  </si>
  <si>
    <t>Server</t>
  </si>
  <si>
    <t>Ibrido cloud fisico, mainframe dati core, cluster microservizi, server locali filiali.</t>
  </si>
  <si>
    <t>Rete e banda</t>
  </si>
  <si>
    <t>Fibra ottica dedicata, vpn sedi fisiche, banda ultra larga, connessioni backup mobili.</t>
  </si>
  <si>
    <t>Ridondanza e bilanciamento</t>
  </si>
  <si>
    <t>Bilanciatori di carico, cluster multi zona, failover automatico, repliche server attive.</t>
  </si>
  <si>
    <t>Backup e disaster recovery</t>
  </si>
  <si>
    <t>Backup incrementali continui, data center secondario, repliche dati geografiche, ripristino automatico rapido.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</si>
</sst>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6">
    <font>
      <sz val="11.0"/>
      <color theme="1"/>
      <name val="Calibri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5" fillId="4" fontId="1" numFmtId="0" xfId="0" applyAlignment="1" applyBorder="1" applyFill="1" applyFont="1">
      <alignment readingOrder="0"/>
    </xf>
    <xf borderId="6" fillId="4" fontId="2" numFmtId="0" xfId="0" applyAlignment="1" applyBorder="1" applyFont="1">
      <alignment horizontal="right" readingOrder="0"/>
    </xf>
    <xf borderId="7" fillId="4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4" fillId="0" fontId="2" numFmtId="164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9" fillId="0" fontId="2" numFmtId="0" xfId="0" applyAlignment="1" applyBorder="1" applyFont="1">
      <alignment horizontal="right" readingOrder="0" shrinkToFit="0" wrapText="0"/>
    </xf>
    <xf borderId="10" fillId="0" fontId="2" numFmtId="0" xfId="0" applyAlignment="1" applyBorder="1" applyFont="1">
      <alignment readingOrder="0"/>
    </xf>
    <xf borderId="2" fillId="4" fontId="2" numFmtId="0" xfId="0" applyAlignment="1" applyBorder="1" applyFont="1">
      <alignment readingOrder="0"/>
    </xf>
    <xf borderId="3" fillId="4" fontId="2" numFmtId="0" xfId="0" applyAlignment="1" applyBorder="1" applyFont="1">
      <alignment readingOrder="0"/>
    </xf>
    <xf borderId="4" fillId="4" fontId="2" numFmtId="0" xfId="0" applyAlignment="1" applyBorder="1" applyFont="1">
      <alignment readingOrder="0"/>
    </xf>
    <xf borderId="8" fillId="4" fontId="1" numFmtId="0" xfId="0" applyAlignment="1" applyBorder="1" applyFont="1">
      <alignment readingOrder="0"/>
    </xf>
    <xf borderId="9" fillId="4" fontId="2" numFmtId="0" xfId="0" applyAlignment="1" applyBorder="1" applyFont="1">
      <alignment horizontal="right" readingOrder="0" shrinkToFit="0" wrapText="0"/>
    </xf>
    <xf borderId="10" fillId="4" fontId="2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  <xf borderId="4" fillId="4" fontId="1" numFmtId="164" xfId="0" applyAlignment="1" applyBorder="1" applyFont="1" applyNumberFormat="1">
      <alignment readingOrder="0"/>
    </xf>
    <xf borderId="11" fillId="4" fontId="1" numFmtId="0" xfId="0" applyAlignment="1" applyBorder="1" applyFont="1">
      <alignment readingOrder="0"/>
    </xf>
    <xf borderId="12" fillId="4" fontId="2" numFmtId="0" xfId="0" applyAlignment="1" applyBorder="1" applyFont="1">
      <alignment horizontal="right" readingOrder="0" shrinkToFit="0" wrapText="0"/>
    </xf>
    <xf borderId="13" fillId="4" fontId="2" numFmtId="0" xfId="0" applyAlignment="1" applyBorder="1" applyFont="1">
      <alignment readingOrder="0"/>
    </xf>
    <xf borderId="2" fillId="5" fontId="1" numFmtId="0" xfId="0" applyAlignment="1" applyBorder="1" applyFill="1" applyFont="1">
      <alignment readingOrder="0"/>
    </xf>
    <xf borderId="3" fillId="5" fontId="1" numFmtId="0" xfId="0" applyAlignment="1" applyBorder="1" applyFont="1">
      <alignment readingOrder="0"/>
    </xf>
    <xf borderId="4" fillId="5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4" fontId="1" numFmtId="0" xfId="0" applyAlignment="1" applyBorder="1" applyFont="1">
      <alignment readingOrder="0"/>
    </xf>
    <xf borderId="2" fillId="6" fontId="1" numFmtId="0" xfId="0" applyAlignment="1" applyBorder="1" applyFill="1" applyFont="1">
      <alignment readingOrder="0"/>
    </xf>
    <xf borderId="3" fillId="6" fontId="1" numFmtId="0" xfId="0" applyAlignment="1" applyBorder="1" applyFont="1">
      <alignment readingOrder="0"/>
    </xf>
    <xf borderId="4" fillId="6" fontId="1" numFmtId="0" xfId="0" applyAlignment="1" applyBorder="1" applyFont="1">
      <alignment readingOrder="0"/>
    </xf>
    <xf borderId="3" fillId="0" fontId="2" numFmtId="9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3" fillId="4" fontId="1" numFmtId="0" xfId="0" applyAlignment="1" applyBorder="1" applyFont="1">
      <alignment readingOrder="0"/>
    </xf>
    <xf borderId="3" fillId="7" fontId="2" numFmtId="9" xfId="0" applyAlignment="1" applyBorder="1" applyFill="1" applyFont="1" applyNumberFormat="1">
      <alignment readingOrder="0"/>
    </xf>
    <xf borderId="3" fillId="7" fontId="2" numFmtId="0" xfId="0" applyAlignment="1" applyBorder="1" applyFont="1">
      <alignment readingOrder="0"/>
    </xf>
    <xf borderId="4" fillId="7" fontId="2" numFmtId="0" xfId="0" applyAlignment="1" applyBorder="1" applyFont="1">
      <alignment readingOrder="0"/>
    </xf>
    <xf borderId="2" fillId="5" fontId="3" numFmtId="0" xfId="0" applyAlignment="1" applyBorder="1" applyFont="1">
      <alignment readingOrder="0" shrinkToFit="0" vertical="center" wrapText="1"/>
    </xf>
    <xf borderId="3" fillId="5" fontId="4" numFmtId="0" xfId="0" applyAlignment="1" applyBorder="1" applyFont="1">
      <alignment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14" fillId="5" fontId="4" numFmtId="0" xfId="0" applyAlignment="1" applyBorder="1" applyFont="1">
      <alignment readingOrder="0" shrinkToFit="0" vertical="center" wrapText="1"/>
    </xf>
    <xf borderId="2" fillId="5" fontId="5" numFmtId="0" xfId="0" applyAlignment="1" applyBorder="1" applyFont="1">
      <alignment readingOrder="0" shrinkToFit="0" vertical="center" wrapText="1"/>
    </xf>
    <xf borderId="3" fillId="8" fontId="3" numFmtId="0" xfId="0" applyAlignment="1" applyBorder="1" applyFill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15" fillId="4" fontId="3" numFmtId="0" xfId="0" applyAlignment="1" applyBorder="1" applyFont="1">
      <alignment readingOrder="0" shrinkToFit="0" vertical="center" wrapText="1"/>
    </xf>
    <xf borderId="4" fillId="4" fontId="3" numFmtId="0" xfId="0" applyAlignment="1" applyBorder="1" applyFont="1">
      <alignment readingOrder="0" shrinkToFit="0" vertical="center" wrapText="1"/>
    </xf>
    <xf borderId="16" fillId="5" fontId="5" numFmtId="0" xfId="0" applyAlignment="1" applyBorder="1" applyFont="1">
      <alignment readingOrder="0" shrinkToFit="0" vertical="center" wrapText="1"/>
    </xf>
    <xf borderId="17" fillId="8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4" fillId="8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vertical="center"/>
    </xf>
    <xf borderId="0" fillId="0" fontId="5" numFmtId="0" xfId="0" applyFont="1"/>
    <xf borderId="0" fillId="0" fontId="3" numFmtId="0" xfId="0" applyAlignment="1" applyFont="1">
      <alignment readingOrder="0"/>
    </xf>
    <xf borderId="2" fillId="9" fontId="5" numFmtId="0" xfId="0" applyAlignment="1" applyBorder="1" applyFill="1" applyFont="1">
      <alignment readingOrder="0"/>
    </xf>
    <xf borderId="4" fillId="9" fontId="5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7" fontId="3" numFmtId="0" xfId="0" applyAlignment="1" applyBorder="1" applyFont="1">
      <alignment readingOrder="0" shrinkToFit="0" vertical="center" wrapText="1"/>
    </xf>
    <xf borderId="4" fillId="7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Simulazione delle code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'Analisi Richiesta'!$B$11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'Analisi Richiesta'!$A$12:$A$22</c:f>
            </c:strRef>
          </c:cat>
          <c:val>
            <c:numRef>
              <c:f>'Analisi Richiesta'!$B$12:$B$22</c:f>
              <c:numCache/>
            </c:numRef>
          </c:val>
        </c:ser>
        <c:ser>
          <c:idx val="1"/>
          <c:order val="1"/>
          <c:tx>
            <c:strRef>
              <c:f>'Analisi Richiesta'!$D$11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'Analisi Richiesta'!$A$12:$A$22</c:f>
            </c:strRef>
          </c:cat>
          <c:val>
            <c:numRef>
              <c:f>'Analisi Richiesta'!$D$12:$D$22</c:f>
              <c:numCache/>
            </c:numRef>
          </c:val>
        </c:ser>
        <c:axId val="1421663146"/>
        <c:axId val="1829740973"/>
      </c:barChart>
      <c:catAx>
        <c:axId val="1421663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Fascia Oraria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740973"/>
      </c:catAx>
      <c:valAx>
        <c:axId val="1829740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663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'Analisi Richiesta'!$G$1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'Analisi Richiesta'!$E$2:$E$6</c:f>
            </c:strRef>
          </c:cat>
          <c:val>
            <c:numRef>
              <c:f>'Analisi Richiesta'!$G$2:$G$6</c:f>
              <c:numCache/>
            </c:numRef>
          </c:val>
        </c:ser>
        <c:ser>
          <c:idx val="1"/>
          <c:order val="1"/>
          <c:tx>
            <c:strRef>
              <c:f>'Analisi Richiesta'!$H$1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'Analisi Richiesta'!$E$2:$E$6</c:f>
            </c:strRef>
          </c:cat>
          <c:val>
            <c:numRef>
              <c:f>'Analisi Richiesta'!$H$2:$H$6</c:f>
              <c:numCache/>
            </c:numRef>
          </c:val>
        </c:ser>
        <c:axId val="1028120615"/>
        <c:axId val="1738099844"/>
      </c:barChart>
      <c:catAx>
        <c:axId val="1028120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099844"/>
      </c:catAx>
      <c:valAx>
        <c:axId val="1738099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1206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Utenti, Banda Netta (Mbps) e Banda Netta + Overhead (Mbps)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Utenti Concorrenti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'Analisi Richiesta'!$A$26:$A$36</c:f>
            </c:strRef>
          </c:cat>
          <c:val>
            <c:numRef>
              <c:f>'Analisi Richiesta'!$B$26:$B$36</c:f>
              <c:numCache/>
            </c:numRef>
          </c:val>
          <c:smooth val="1"/>
        </c:ser>
        <c:ser>
          <c:idx val="1"/>
          <c:order val="1"/>
          <c:tx>
            <c:strRef>
              <c:f>'Analisi Richiesta'!$E$25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'Analisi Richiesta'!$A$26:$A$36</c:f>
            </c:strRef>
          </c:cat>
          <c:val>
            <c:numRef>
              <c:f>'Analisi Richiesta'!$E$26:$E$36</c:f>
              <c:numCache/>
            </c:numRef>
          </c:val>
          <c:smooth val="1"/>
        </c:ser>
        <c:ser>
          <c:idx val="2"/>
          <c:order val="2"/>
          <c:tx>
            <c:strRef>
              <c:f>'Analisi Richiesta'!$F$25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'Analisi Richiesta'!$A$26:$A$36</c:f>
            </c:strRef>
          </c:cat>
          <c:val>
            <c:numRef>
              <c:f>'Analisi Richiesta'!$F$26:$F$36</c:f>
              <c:numCache/>
            </c:numRef>
          </c:val>
          <c:smooth val="1"/>
        </c:ser>
        <c:axId val="462647990"/>
        <c:axId val="1232719584"/>
      </c:lineChart>
      <c:catAx>
        <c:axId val="462647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Fascia Oraria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719584"/>
      </c:catAx>
      <c:valAx>
        <c:axId val="1232719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647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10</xdr:row>
      <xdr:rowOff>0</xdr:rowOff>
    </xdr:from>
    <xdr:ext cx="7486650" cy="230505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952500</xdr:colOff>
      <xdr:row>0</xdr:row>
      <xdr:rowOff>0</xdr:rowOff>
    </xdr:from>
    <xdr:ext cx="4657725" cy="215265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1590675</xdr:colOff>
      <xdr:row>22</xdr:row>
      <xdr:rowOff>171450</xdr:rowOff>
    </xdr:from>
    <xdr:ext cx="5715000" cy="404812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8.71"/>
    <col customWidth="1" min="3" max="3" width="57.57"/>
    <col customWidth="1" min="4" max="5" width="32.0"/>
    <col customWidth="1" min="6" max="6" width="33.86"/>
    <col customWidth="1" min="7" max="7" width="24.14"/>
    <col customWidth="1" min="8" max="8" width="22.29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  <c r="G1" s="3" t="s">
        <v>5</v>
      </c>
      <c r="H1" s="4" t="s">
        <v>6</v>
      </c>
    </row>
    <row r="2">
      <c r="A2" s="5" t="s">
        <v>7</v>
      </c>
      <c r="B2" s="6">
        <v>1200.0</v>
      </c>
      <c r="C2" s="7" t="s">
        <v>8</v>
      </c>
      <c r="E2" s="8" t="s">
        <v>9</v>
      </c>
      <c r="F2" s="9">
        <v>3.0</v>
      </c>
      <c r="G2" s="10">
        <v>120.0</v>
      </c>
      <c r="H2" s="11">
        <v>360.0</v>
      </c>
    </row>
    <row r="3">
      <c r="A3" s="12" t="s">
        <v>10</v>
      </c>
      <c r="B3" s="13" t="s">
        <v>11</v>
      </c>
      <c r="C3" s="14" t="s">
        <v>12</v>
      </c>
      <c r="E3" s="15" t="s">
        <v>13</v>
      </c>
      <c r="F3" s="16">
        <v>2.0</v>
      </c>
      <c r="G3" s="16">
        <v>250.0</v>
      </c>
      <c r="H3" s="17">
        <v>500.0</v>
      </c>
    </row>
    <row r="4">
      <c r="A4" s="18" t="s">
        <v>14</v>
      </c>
      <c r="B4" s="19" t="s">
        <v>15</v>
      </c>
      <c r="C4" s="20" t="s">
        <v>16</v>
      </c>
      <c r="E4" s="8" t="s">
        <v>17</v>
      </c>
      <c r="F4" s="9">
        <v>1.0</v>
      </c>
      <c r="G4" s="10">
        <v>80.0</v>
      </c>
      <c r="H4" s="11">
        <v>80.0</v>
      </c>
    </row>
    <row r="5">
      <c r="A5" s="12" t="s">
        <v>18</v>
      </c>
      <c r="B5" s="13">
        <v>120.0</v>
      </c>
      <c r="C5" s="14" t="s">
        <v>19</v>
      </c>
      <c r="E5" s="15" t="s">
        <v>20</v>
      </c>
      <c r="F5" s="16">
        <v>1.0</v>
      </c>
      <c r="G5" s="16">
        <v>150.0</v>
      </c>
      <c r="H5" s="17">
        <v>150.0</v>
      </c>
    </row>
    <row r="6">
      <c r="A6" s="18" t="s">
        <v>21</v>
      </c>
      <c r="B6" s="19" t="s">
        <v>22</v>
      </c>
      <c r="C6" s="20" t="s">
        <v>23</v>
      </c>
      <c r="E6" s="8" t="s">
        <v>24</v>
      </c>
      <c r="F6" s="9">
        <v>1.0</v>
      </c>
      <c r="G6" s="10">
        <v>90.0</v>
      </c>
      <c r="H6" s="11">
        <v>90.0</v>
      </c>
    </row>
    <row r="7">
      <c r="A7" s="12" t="s">
        <v>25</v>
      </c>
      <c r="B7" s="13" t="s">
        <v>26</v>
      </c>
      <c r="C7" s="14" t="s">
        <v>27</v>
      </c>
      <c r="E7" s="21" t="s">
        <v>28</v>
      </c>
      <c r="F7" s="16"/>
      <c r="G7" s="16"/>
      <c r="H7" s="22">
        <f>SUM(H2:H6)</f>
        <v>1180</v>
      </c>
    </row>
    <row r="8">
      <c r="A8" s="23" t="s">
        <v>29</v>
      </c>
      <c r="B8" s="24" t="s">
        <v>30</v>
      </c>
      <c r="C8" s="25" t="s">
        <v>31</v>
      </c>
    </row>
    <row r="11">
      <c r="A11" s="26" t="s">
        <v>32</v>
      </c>
      <c r="B11" s="27" t="s">
        <v>33</v>
      </c>
      <c r="C11" s="27" t="s">
        <v>34</v>
      </c>
      <c r="D11" s="28" t="s">
        <v>35</v>
      </c>
    </row>
    <row r="12">
      <c r="A12" s="29" t="s">
        <v>36</v>
      </c>
      <c r="B12" s="9">
        <v>60.0</v>
      </c>
      <c r="C12" s="9">
        <v>120.0</v>
      </c>
      <c r="D12" s="30">
        <f>MAX(0, B12-C12)</f>
        <v>0</v>
      </c>
    </row>
    <row r="13">
      <c r="A13" s="21" t="s">
        <v>37</v>
      </c>
      <c r="B13" s="16">
        <v>140.0</v>
      </c>
      <c r="C13" s="16">
        <v>120.0</v>
      </c>
      <c r="D13" s="31">
        <f t="shared" ref="D13:D22" si="1">MAX(0, B13-C13+D12)</f>
        <v>20</v>
      </c>
    </row>
    <row r="14">
      <c r="A14" s="29" t="s">
        <v>38</v>
      </c>
      <c r="B14" s="9">
        <v>190.0</v>
      </c>
      <c r="C14" s="9">
        <v>120.0</v>
      </c>
      <c r="D14" s="30">
        <f t="shared" si="1"/>
        <v>90</v>
      </c>
    </row>
    <row r="15">
      <c r="A15" s="21" t="s">
        <v>39</v>
      </c>
      <c r="B15" s="16">
        <v>150.0</v>
      </c>
      <c r="C15" s="16">
        <v>120.0</v>
      </c>
      <c r="D15" s="31">
        <f t="shared" si="1"/>
        <v>120</v>
      </c>
    </row>
    <row r="16">
      <c r="A16" s="29" t="s">
        <v>40</v>
      </c>
      <c r="B16" s="9">
        <v>90.0</v>
      </c>
      <c r="C16" s="9">
        <v>120.0</v>
      </c>
      <c r="D16" s="30">
        <f t="shared" si="1"/>
        <v>90</v>
      </c>
    </row>
    <row r="17">
      <c r="A17" s="21" t="s">
        <v>41</v>
      </c>
      <c r="B17" s="16">
        <v>210.0</v>
      </c>
      <c r="C17" s="16">
        <v>120.0</v>
      </c>
      <c r="D17" s="31">
        <f t="shared" si="1"/>
        <v>180</v>
      </c>
    </row>
    <row r="18">
      <c r="A18" s="29" t="s">
        <v>42</v>
      </c>
      <c r="B18" s="9">
        <v>110.0</v>
      </c>
      <c r="C18" s="9">
        <v>120.0</v>
      </c>
      <c r="D18" s="30">
        <f t="shared" si="1"/>
        <v>170</v>
      </c>
    </row>
    <row r="19">
      <c r="A19" s="21" t="s">
        <v>43</v>
      </c>
      <c r="B19" s="16">
        <v>80.0</v>
      </c>
      <c r="C19" s="16">
        <v>120.0</v>
      </c>
      <c r="D19" s="31">
        <f t="shared" si="1"/>
        <v>130</v>
      </c>
    </row>
    <row r="20">
      <c r="A20" s="29" t="s">
        <v>44</v>
      </c>
      <c r="B20" s="9">
        <v>70.0</v>
      </c>
      <c r="C20" s="9">
        <v>120.0</v>
      </c>
      <c r="D20" s="30">
        <f t="shared" si="1"/>
        <v>80</v>
      </c>
    </row>
    <row r="21">
      <c r="A21" s="21" t="s">
        <v>45</v>
      </c>
      <c r="B21" s="16">
        <v>60.0</v>
      </c>
      <c r="C21" s="16">
        <v>120.0</v>
      </c>
      <c r="D21" s="31">
        <f t="shared" si="1"/>
        <v>20</v>
      </c>
    </row>
    <row r="22">
      <c r="A22" s="29" t="s">
        <v>46</v>
      </c>
      <c r="B22" s="9">
        <v>40.0</v>
      </c>
      <c r="C22" s="9">
        <v>120.0</v>
      </c>
      <c r="D22" s="30">
        <f t="shared" si="1"/>
        <v>0</v>
      </c>
    </row>
    <row r="25">
      <c r="A25" s="32" t="s">
        <v>32</v>
      </c>
      <c r="B25" s="33" t="s">
        <v>47</v>
      </c>
      <c r="C25" s="33" t="s">
        <v>48</v>
      </c>
      <c r="D25" s="33" t="s">
        <v>49</v>
      </c>
      <c r="E25" s="33" t="s">
        <v>50</v>
      </c>
      <c r="F25" s="34" t="s">
        <v>51</v>
      </c>
    </row>
    <row r="26">
      <c r="A26" s="29" t="s">
        <v>36</v>
      </c>
      <c r="B26" s="9">
        <v>25.0</v>
      </c>
      <c r="C26" s="35">
        <f t="shared" ref="C26:C36" si="2">1.35% + (B26 * 0.75%)</f>
        <v>0.201</v>
      </c>
      <c r="D26" s="9">
        <f t="shared" ref="D26:D36" si="3">5.75+(B26*0.04)</f>
        <v>6.75</v>
      </c>
      <c r="E26" s="9">
        <f t="shared" ref="E26:E36" si="4"> 2 + (B26 * 2.5)</f>
        <v>64.5</v>
      </c>
      <c r="F26" s="36">
        <f t="shared" ref="F26:F36" si="5">E26* 1.2</f>
        <v>77.4</v>
      </c>
    </row>
    <row r="27">
      <c r="A27" s="37" t="s">
        <v>37</v>
      </c>
      <c r="B27" s="16">
        <v>56.0</v>
      </c>
      <c r="C27" s="38">
        <f t="shared" si="2"/>
        <v>0.4335</v>
      </c>
      <c r="D27" s="39">
        <f t="shared" si="3"/>
        <v>7.99</v>
      </c>
      <c r="E27" s="39">
        <f t="shared" si="4"/>
        <v>142</v>
      </c>
      <c r="F27" s="40">
        <f t="shared" si="5"/>
        <v>170.4</v>
      </c>
    </row>
    <row r="28">
      <c r="A28" s="29" t="s">
        <v>38</v>
      </c>
      <c r="B28" s="9">
        <v>76.0</v>
      </c>
      <c r="C28" s="35">
        <f t="shared" si="2"/>
        <v>0.5835</v>
      </c>
      <c r="D28" s="9">
        <f t="shared" si="3"/>
        <v>8.79</v>
      </c>
      <c r="E28" s="9">
        <f t="shared" si="4"/>
        <v>192</v>
      </c>
      <c r="F28" s="36">
        <f t="shared" si="5"/>
        <v>230.4</v>
      </c>
    </row>
    <row r="29">
      <c r="A29" s="37" t="s">
        <v>39</v>
      </c>
      <c r="B29" s="16">
        <v>60.0</v>
      </c>
      <c r="C29" s="38">
        <f t="shared" si="2"/>
        <v>0.4635</v>
      </c>
      <c r="D29" s="39">
        <f t="shared" si="3"/>
        <v>8.15</v>
      </c>
      <c r="E29" s="39">
        <f t="shared" si="4"/>
        <v>152</v>
      </c>
      <c r="F29" s="40">
        <f t="shared" si="5"/>
        <v>182.4</v>
      </c>
    </row>
    <row r="30">
      <c r="A30" s="29" t="s">
        <v>40</v>
      </c>
      <c r="B30" s="9">
        <v>36.0</v>
      </c>
      <c r="C30" s="35">
        <f t="shared" si="2"/>
        <v>0.2835</v>
      </c>
      <c r="D30" s="9">
        <f t="shared" si="3"/>
        <v>7.19</v>
      </c>
      <c r="E30" s="9">
        <f t="shared" si="4"/>
        <v>92</v>
      </c>
      <c r="F30" s="36">
        <f t="shared" si="5"/>
        <v>110.4</v>
      </c>
    </row>
    <row r="31">
      <c r="A31" s="37" t="s">
        <v>41</v>
      </c>
      <c r="B31" s="16">
        <v>84.0</v>
      </c>
      <c r="C31" s="38">
        <f t="shared" si="2"/>
        <v>0.6435</v>
      </c>
      <c r="D31" s="39">
        <f t="shared" si="3"/>
        <v>9.11</v>
      </c>
      <c r="E31" s="39">
        <f t="shared" si="4"/>
        <v>212</v>
      </c>
      <c r="F31" s="40">
        <f t="shared" si="5"/>
        <v>254.4</v>
      </c>
    </row>
    <row r="32">
      <c r="A32" s="29" t="s">
        <v>42</v>
      </c>
      <c r="B32" s="9">
        <v>44.0</v>
      </c>
      <c r="C32" s="35">
        <f t="shared" si="2"/>
        <v>0.3435</v>
      </c>
      <c r="D32" s="9">
        <f t="shared" si="3"/>
        <v>7.51</v>
      </c>
      <c r="E32" s="9">
        <f t="shared" si="4"/>
        <v>112</v>
      </c>
      <c r="F32" s="36">
        <f t="shared" si="5"/>
        <v>134.4</v>
      </c>
    </row>
    <row r="33">
      <c r="A33" s="37" t="s">
        <v>43</v>
      </c>
      <c r="B33" s="16">
        <v>32.0</v>
      </c>
      <c r="C33" s="38">
        <f t="shared" si="2"/>
        <v>0.2535</v>
      </c>
      <c r="D33" s="39">
        <f t="shared" si="3"/>
        <v>7.03</v>
      </c>
      <c r="E33" s="39">
        <f t="shared" si="4"/>
        <v>82</v>
      </c>
      <c r="F33" s="40">
        <f t="shared" si="5"/>
        <v>98.4</v>
      </c>
    </row>
    <row r="34">
      <c r="A34" s="29" t="s">
        <v>44</v>
      </c>
      <c r="B34" s="9">
        <v>28.0</v>
      </c>
      <c r="C34" s="35">
        <f t="shared" si="2"/>
        <v>0.2235</v>
      </c>
      <c r="D34" s="9">
        <f t="shared" si="3"/>
        <v>6.87</v>
      </c>
      <c r="E34" s="9">
        <f t="shared" si="4"/>
        <v>72</v>
      </c>
      <c r="F34" s="36">
        <f t="shared" si="5"/>
        <v>86.4</v>
      </c>
    </row>
    <row r="35">
      <c r="A35" s="37" t="s">
        <v>45</v>
      </c>
      <c r="B35" s="16">
        <v>24.0</v>
      </c>
      <c r="C35" s="38">
        <f t="shared" si="2"/>
        <v>0.1935</v>
      </c>
      <c r="D35" s="39">
        <f t="shared" si="3"/>
        <v>6.71</v>
      </c>
      <c r="E35" s="39">
        <f t="shared" si="4"/>
        <v>62</v>
      </c>
      <c r="F35" s="40">
        <f t="shared" si="5"/>
        <v>74.4</v>
      </c>
    </row>
    <row r="36">
      <c r="A36" s="29" t="s">
        <v>46</v>
      </c>
      <c r="B36" s="9">
        <v>16.0</v>
      </c>
      <c r="C36" s="35">
        <f t="shared" si="2"/>
        <v>0.1335</v>
      </c>
      <c r="D36" s="9">
        <f t="shared" si="3"/>
        <v>6.39</v>
      </c>
      <c r="E36" s="9">
        <f t="shared" si="4"/>
        <v>42</v>
      </c>
      <c r="F36" s="36">
        <f t="shared" si="5"/>
        <v>50.4</v>
      </c>
    </row>
  </sheetData>
  <conditionalFormatting sqref="H3 H5 H7 D11:D22">
    <cfRule type="expression" dxfId="0" priority="1">
      <formula>H3=MAX($D$12:$D$22)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28.29"/>
    <col customWidth="1" min="4" max="4" width="37.86"/>
    <col customWidth="1" min="5" max="6" width="30.29"/>
    <col customWidth="1" min="7" max="7" width="28.0"/>
  </cols>
  <sheetData>
    <row r="1" ht="36.75" customHeight="1">
      <c r="A1" s="41" t="s">
        <v>52</v>
      </c>
      <c r="B1" s="42" t="s">
        <v>53</v>
      </c>
      <c r="C1" s="43" t="s">
        <v>54</v>
      </c>
      <c r="D1" s="42" t="s">
        <v>55</v>
      </c>
      <c r="E1" s="42" t="s">
        <v>56</v>
      </c>
      <c r="F1" s="42" t="s">
        <v>57</v>
      </c>
      <c r="G1" s="44" t="s">
        <v>58</v>
      </c>
    </row>
    <row r="2">
      <c r="A2" s="45" t="s">
        <v>59</v>
      </c>
      <c r="B2" s="46" t="s">
        <v>60</v>
      </c>
      <c r="C2" s="46" t="s">
        <v>61</v>
      </c>
      <c r="D2" s="46" t="s">
        <v>62</v>
      </c>
      <c r="E2" s="46" t="s">
        <v>63</v>
      </c>
      <c r="F2" s="46" t="s">
        <v>64</v>
      </c>
      <c r="G2" s="47" t="s">
        <v>65</v>
      </c>
    </row>
    <row r="3">
      <c r="A3" s="45" t="s">
        <v>66</v>
      </c>
      <c r="B3" s="48" t="s">
        <v>67</v>
      </c>
      <c r="C3" s="49" t="s">
        <v>68</v>
      </c>
      <c r="D3" s="49" t="s">
        <v>69</v>
      </c>
      <c r="E3" s="50" t="s">
        <v>70</v>
      </c>
      <c r="F3" s="49" t="s">
        <v>71</v>
      </c>
      <c r="G3" s="51" t="s">
        <v>72</v>
      </c>
    </row>
    <row r="4">
      <c r="A4" s="52" t="s">
        <v>73</v>
      </c>
      <c r="B4" s="53" t="s">
        <v>74</v>
      </c>
      <c r="C4" s="53" t="s">
        <v>75</v>
      </c>
      <c r="D4" s="53" t="s">
        <v>76</v>
      </c>
      <c r="E4" s="54" t="s">
        <v>77</v>
      </c>
      <c r="F4" s="53" t="s">
        <v>78</v>
      </c>
      <c r="G4" s="55" t="s">
        <v>79</v>
      </c>
    </row>
    <row r="5">
      <c r="A5" s="45" t="s">
        <v>80</v>
      </c>
      <c r="B5" s="56" t="s">
        <v>81</v>
      </c>
      <c r="C5" s="48" t="s">
        <v>82</v>
      </c>
      <c r="D5" s="48" t="s">
        <v>83</v>
      </c>
      <c r="E5" s="48" t="s">
        <v>84</v>
      </c>
      <c r="F5" s="48" t="s">
        <v>85</v>
      </c>
      <c r="G5" s="51" t="s">
        <v>86</v>
      </c>
    </row>
    <row r="6">
      <c r="D6" s="57"/>
      <c r="E6" s="57"/>
      <c r="F6" s="57"/>
    </row>
    <row r="10">
      <c r="B10" s="58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74.57"/>
  </cols>
  <sheetData>
    <row r="1">
      <c r="A1" s="59" t="s">
        <v>88</v>
      </c>
      <c r="B1" s="60" t="s">
        <v>89</v>
      </c>
    </row>
    <row r="2">
      <c r="A2" s="61" t="s">
        <v>90</v>
      </c>
      <c r="B2" s="62" t="s">
        <v>91</v>
      </c>
      <c r="C2" s="63"/>
      <c r="D2" s="63"/>
    </row>
    <row r="3">
      <c r="A3" s="64" t="s">
        <v>92</v>
      </c>
      <c r="B3" s="65" t="s">
        <v>93</v>
      </c>
      <c r="C3" s="63"/>
      <c r="D3" s="63"/>
    </row>
    <row r="4">
      <c r="A4" s="61" t="s">
        <v>94</v>
      </c>
      <c r="B4" s="62" t="s">
        <v>95</v>
      </c>
      <c r="C4" s="63"/>
      <c r="D4" s="63"/>
    </row>
    <row r="5">
      <c r="A5" s="64" t="s">
        <v>96</v>
      </c>
      <c r="B5" s="65" t="s">
        <v>97</v>
      </c>
      <c r="C5" s="63"/>
      <c r="D5" s="63"/>
    </row>
    <row r="6">
      <c r="A6" s="61" t="s">
        <v>98</v>
      </c>
      <c r="B6" s="62" t="s">
        <v>99</v>
      </c>
      <c r="C6" s="63"/>
      <c r="D6" s="63"/>
    </row>
    <row r="7">
      <c r="A7" s="64" t="s">
        <v>100</v>
      </c>
      <c r="B7" s="65" t="s">
        <v>101</v>
      </c>
      <c r="C7" s="63"/>
      <c r="D7" s="63"/>
    </row>
    <row r="8">
      <c r="A8" s="63"/>
      <c r="B8" s="63"/>
      <c r="C8" s="63"/>
      <c r="D8" s="63"/>
    </row>
    <row r="9">
      <c r="A9" s="63"/>
      <c r="B9" s="63"/>
      <c r="C9" s="63"/>
      <c r="D9" s="63"/>
    </row>
    <row r="10">
      <c r="A10" s="59" t="s">
        <v>102</v>
      </c>
      <c r="B10" s="60" t="s">
        <v>89</v>
      </c>
    </row>
    <row r="11">
      <c r="A11" s="66" t="s">
        <v>103</v>
      </c>
      <c r="B11" s="62" t="s">
        <v>104</v>
      </c>
    </row>
    <row r="12">
      <c r="A12" s="64" t="s">
        <v>105</v>
      </c>
      <c r="B12" s="65" t="s">
        <v>106</v>
      </c>
    </row>
    <row r="13">
      <c r="A13" s="67" t="s">
        <v>107</v>
      </c>
      <c r="B13" s="62" t="s">
        <v>108</v>
      </c>
    </row>
    <row r="14">
      <c r="A14" s="64" t="s">
        <v>109</v>
      </c>
      <c r="B14" s="65" t="s">
        <v>110</v>
      </c>
    </row>
  </sheetData>
  <drawing r:id="rId1"/>
</worksheet>
</file>